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Mars" sheetId="2" state="visible" r:id="rId2"/>
    <sheet xmlns:r="http://schemas.openxmlformats.org/officeDocument/2006/relationships" name="Trimestre" sheetId="3" state="visible" r:id="rId3"/>
    <sheet xmlns:r="http://schemas.openxmlformats.org/officeDocument/2006/relationships" name="Corrige_formateu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b val="1"/>
      <color rgb="001B3A4B"/>
      <sz val="12"/>
    </font>
    <font>
      <name val="Calibri"/>
      <sz val="11"/>
    </font>
    <font>
      <name val="Calibri"/>
      <i val="1"/>
      <color rgb="002A6F7F"/>
      <sz val="11"/>
    </font>
    <font>
      <name val="Calibri"/>
      <b val="1"/>
      <color rgb="00FFFFFF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4F7F8"/>
      </patternFill>
    </fill>
    <fill>
      <patternFill patternType="solid">
        <fgColor rgb="00E3EEF1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164" fontId="3" fillId="0" borderId="1" pivotButton="0" quotePrefix="0" xfId="0"/>
    <xf numFmtId="0" fontId="3" fillId="3" borderId="1" pivotButton="0" quotePrefix="0" xfId="0"/>
    <xf numFmtId="3" fontId="3" fillId="3" borderId="1" applyAlignment="1" pivotButton="0" quotePrefix="0" xfId="0">
      <alignment horizontal="right"/>
    </xf>
    <xf numFmtId="164" fontId="3" fillId="3" borderId="1" pivotButton="0" quotePrefix="0" xfId="0"/>
    <xf numFmtId="0" fontId="6" fillId="4" borderId="1" pivotButton="0" quotePrefix="0" xfId="0"/>
    <xf numFmtId="3" fontId="3" fillId="4" borderId="1" applyAlignment="1" pivotButton="0" quotePrefix="0" xfId="0">
      <alignment horizontal="right"/>
    </xf>
    <xf numFmtId="164" fontId="3" fillId="4" borderId="1" pivotButton="0" quotePrefix="0" xfId="0"/>
    <xf numFmtId="0" fontId="0" fillId="5" borderId="0" applyAlignment="1" pivotButton="0" quotePrefix="0" xfId="0">
      <alignment wrapText="1"/>
    </xf>
    <xf numFmtId="0" fontId="5" fillId="2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Atelier — Créer une skill : budget-variance-note</t>
        </is>
      </c>
    </row>
    <row r="3">
      <c r="A3" s="2" t="inlineStr">
        <is>
          <t>Objectif</t>
        </is>
      </c>
    </row>
    <row r="4">
      <c r="A4" s="3" t="inlineStr">
        <is>
          <t>Utilisez la feuille « Mars » (ou « Trimestre ») avec votre skill budget-variance-note. Demandez à Claude / Cursor : « Rédige la note d'écarts à partir de ce fichier ». La skill doit produire synthèse, tableau des 3 postes clés, questions métier et une prochaine action.</t>
        </is>
      </c>
    </row>
    <row r="5"/>
    <row r="6"/>
    <row r="8">
      <c r="A8" s="2" t="inlineStr">
        <is>
          <t>Déroulement suggéré (15–20 min)</t>
        </is>
      </c>
    </row>
    <row r="9">
      <c r="A9" s="4" t="inlineStr">
        <is>
          <t>1. Ouvrez Create-Skill et créez la skill budget-variance-note (modèle fourni en atelier).</t>
        </is>
      </c>
    </row>
    <row r="10">
      <c r="A10" s="4" t="inlineStr">
        <is>
          <t>2. Ouvrez ce classeur — ne lisez que la feuille Mars pour le premier essai.</t>
        </is>
      </c>
    </row>
    <row r="11">
      <c r="A11" s="4" t="inlineStr">
        <is>
          <t>3. Lancez la skill sur les chiffres de Mars (sans regarder la feuille Corrigé).</t>
        </is>
      </c>
    </row>
    <row r="12">
      <c r="A12" s="4" t="inlineStr">
        <is>
          <t>4. Comparez votre note à la feuille Corrigé_formateur (ordre de grandeur, pas mot à mot).</t>
        </is>
      </c>
    </row>
    <row r="13">
      <c r="A13" s="4" t="inlineStr">
        <is>
          <t>5. Variante : refaites l'exercice avec la feuille Trimestre.</t>
        </is>
      </c>
    </row>
    <row r="15">
      <c r="A15" s="2" t="inlineStr">
        <is>
          <t>Société fictive</t>
        </is>
      </c>
    </row>
    <row r="16">
      <c r="A16" s="4" t="inlineStr">
        <is>
          <t>Alpes Conseil Sàrl — cabinet de conseil, Vaud. Devise : CHF. Fichier pédagogique uniquement — pas de conseil fiscal ou financier.</t>
        </is>
      </c>
    </row>
  </sheetData>
  <mergeCells count="2">
    <mergeCell ref="A1:D1"/>
    <mergeCell ref="A4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2" customWidth="1" min="4" max="4"/>
    <col width="10" customWidth="1" min="5" max="5"/>
    <col width="52" customWidth="1" min="6" max="6"/>
  </cols>
  <sheetData>
    <row r="1">
      <c r="A1" s="1" t="inlineStr">
        <is>
          <t>Alpes Conseil Sàrl — Budget vs réalisé</t>
        </is>
      </c>
    </row>
    <row r="2">
      <c r="A2" s="5" t="inlineStr">
        <is>
          <t>Période : mars 2026  |  Comparaison : budget mensuel vs réalisé</t>
        </is>
      </c>
    </row>
    <row r="4">
      <c r="A4" s="6" t="inlineStr">
        <is>
          <t>Poste</t>
        </is>
      </c>
      <c r="B4" s="6" t="inlineStr">
        <is>
          <t>Budget CHF</t>
        </is>
      </c>
      <c r="C4" s="6" t="inlineStr">
        <is>
          <t>Réalisé CHF</t>
        </is>
      </c>
      <c r="D4" s="6" t="inlineStr">
        <is>
          <t>Écart CHF</t>
        </is>
      </c>
      <c r="E4" s="6" t="inlineStr">
        <is>
          <t>Écart %</t>
        </is>
      </c>
      <c r="F4" s="6" t="inlineStr">
        <is>
          <t>Commentaire métier (brut)</t>
        </is>
      </c>
    </row>
    <row r="5">
      <c r="A5" s="7" t="inlineStr">
        <is>
          <t>Chiffre d'affaires — honoraires</t>
        </is>
      </c>
      <c r="B5" s="8" t="n">
        <v>100000</v>
      </c>
      <c r="C5" s="8" t="n">
        <v>82000</v>
      </c>
      <c r="D5" s="8">
        <f>C5-B5</f>
        <v/>
      </c>
      <c r="E5" s="9">
        <f>IF(B5=0,0,D5/B5)</f>
        <v/>
      </c>
      <c r="F5" s="7" t="inlineStr">
        <is>
          <t>2 missions reportées ; 1 client a réduit le volume</t>
        </is>
      </c>
    </row>
    <row r="6">
      <c r="A6" s="10" t="inlineStr">
        <is>
          <t>Autres produits</t>
        </is>
      </c>
      <c r="B6" s="11" t="n">
        <v>2000</v>
      </c>
      <c r="C6" s="11" t="n">
        <v>1500</v>
      </c>
      <c r="D6" s="11">
        <f>C6-B6</f>
        <v/>
      </c>
      <c r="E6" s="12">
        <f>IF(B6=0,0,D6/B6)</f>
        <v/>
      </c>
      <c r="F6" s="10" t="inlineStr"/>
    </row>
    <row r="7">
      <c r="A7" s="7" t="inlineStr">
        <is>
          <t>Charges de personnel</t>
        </is>
      </c>
      <c r="B7" s="8" t="n">
        <v>55000</v>
      </c>
      <c r="C7" s="8" t="n">
        <v>56500</v>
      </c>
      <c r="D7" s="8">
        <f>C7-B7</f>
        <v/>
      </c>
      <c r="E7" s="9">
        <f>IF(B7=0,0,D7/B7)</f>
        <v/>
      </c>
      <c r="F7" s="7" t="inlineStr">
        <is>
          <t>Heures supp. sur un livrable urgent</t>
        </is>
      </c>
    </row>
    <row r="8">
      <c r="A8" s="10" t="inlineStr">
        <is>
          <t>Sous-traitance / freelances</t>
        </is>
      </c>
      <c r="B8" s="11" t="n">
        <v>8000</v>
      </c>
      <c r="C8" s="11" t="n">
        <v>12000</v>
      </c>
      <c r="D8" s="11">
        <f>C8-B8</f>
        <v/>
      </c>
      <c r="E8" s="12">
        <f>IF(B8=0,0,D8/B8)</f>
        <v/>
      </c>
      <c r="F8" s="10" t="inlineStr">
        <is>
          <t>Remplacement d'un consultant malade</t>
        </is>
      </c>
    </row>
    <row r="9">
      <c r="A9" s="7" t="inlineStr">
        <is>
          <t>Loyer et charges locatives</t>
        </is>
      </c>
      <c r="B9" s="8" t="n">
        <v>4500</v>
      </c>
      <c r="C9" s="8" t="n">
        <v>4500</v>
      </c>
      <c r="D9" s="8">
        <f>C9-B9</f>
        <v/>
      </c>
      <c r="E9" s="9">
        <f>IF(B9=0,0,D9/B9)</f>
        <v/>
      </c>
      <c r="F9" s="7" t="inlineStr"/>
    </row>
    <row r="10">
      <c r="A10" s="10" t="inlineStr">
        <is>
          <t>Marketing et acquisition</t>
        </is>
      </c>
      <c r="B10" s="11" t="n">
        <v>3000</v>
      </c>
      <c r="C10" s="11" t="n">
        <v>4200</v>
      </c>
      <c r="D10" s="11">
        <f>C10-B10</f>
        <v/>
      </c>
      <c r="E10" s="12">
        <f>IF(B10=0,0,D10/B10)</f>
        <v/>
      </c>
      <c r="F10" s="10" t="inlineStr">
        <is>
          <t>Campagne LinkedIn non budgétée</t>
        </is>
      </c>
    </row>
    <row r="11">
      <c r="A11" s="7" t="inlineStr">
        <is>
          <t>Informatique / outils</t>
        </is>
      </c>
      <c r="B11" s="8" t="n">
        <v>1800</v>
      </c>
      <c r="C11" s="8" t="n">
        <v>1750</v>
      </c>
      <c r="D11" s="8">
        <f>C11-B11</f>
        <v/>
      </c>
      <c r="E11" s="9">
        <f>IF(B11=0,0,D11/B11)</f>
        <v/>
      </c>
      <c r="F11" s="7" t="inlineStr"/>
    </row>
    <row r="12">
      <c r="A12" s="10" t="inlineStr">
        <is>
          <t>Autres frais généraux</t>
        </is>
      </c>
      <c r="B12" s="11" t="n">
        <v>2700</v>
      </c>
      <c r="C12" s="11" t="n">
        <v>2400</v>
      </c>
      <c r="D12" s="11">
        <f>C12-B12</f>
        <v/>
      </c>
      <c r="E12" s="12">
        <f>IF(B12=0,0,D12/B12)</f>
        <v/>
      </c>
      <c r="F12" s="10" t="inlineStr"/>
    </row>
    <row r="14">
      <c r="A14" s="13" t="inlineStr">
        <is>
          <t>Total produits</t>
        </is>
      </c>
      <c r="B14" s="14">
        <f>B5+B6</f>
        <v/>
      </c>
      <c r="C14" s="14">
        <f>C5+C6</f>
        <v/>
      </c>
      <c r="D14" s="14">
        <f>C14-B14</f>
        <v/>
      </c>
      <c r="E14" s="15">
        <f>IF(B14=0,0,D14/B14)</f>
        <v/>
      </c>
    </row>
    <row r="15">
      <c r="A15" s="13" t="inlineStr">
        <is>
          <t>Total charges</t>
        </is>
      </c>
      <c r="B15" s="14">
        <f>SUM(B7:B12)</f>
        <v/>
      </c>
      <c r="C15" s="14">
        <f>SUM(C7:C12)</f>
        <v/>
      </c>
      <c r="D15" s="14">
        <f>C15-B15</f>
        <v/>
      </c>
      <c r="E15" s="15">
        <f>IF(B15=0,0,D15/B15)</f>
        <v/>
      </c>
    </row>
    <row r="16">
      <c r="A16" s="13" t="inlineStr">
        <is>
          <t>Résultat d'exploitation (approx.)</t>
        </is>
      </c>
      <c r="B16" s="14">
        <f>B14-B15</f>
        <v/>
      </c>
      <c r="C16" s="14">
        <f>C14-C15</f>
        <v/>
      </c>
      <c r="D16" s="14">
        <f>C16-B16</f>
        <v/>
      </c>
      <c r="E16" s="15">
        <f>IF(B16=0,0,D16/B16)</f>
        <v/>
      </c>
    </row>
    <row r="18">
      <c r="A18" s="2" t="inlineStr">
        <is>
          <t>Astuce atelier</t>
        </is>
      </c>
    </row>
    <row r="19">
      <c r="A19" s="16" t="inlineStr">
        <is>
          <t>La skill doit garder au plus 3 postes qui expliquent l'essentiel de l'écart. Les commentaires métier sont des indices bruts — la note ne doit pas les recopier tels quels.</t>
        </is>
      </c>
    </row>
    <row r="20"/>
  </sheetData>
  <mergeCells count="2">
    <mergeCell ref="A1:F1"/>
    <mergeCell ref="A19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Alpes Conseil Sàrl — Budget vs réalisé Q1 2026</t>
        </is>
      </c>
    </row>
    <row r="2">
      <c r="A2" s="5" t="inlineStr">
        <is>
          <t>Période : janvier–mars 2026  |  Variante pour un 2e essai</t>
        </is>
      </c>
    </row>
    <row r="4">
      <c r="A4" s="17" t="inlineStr">
        <is>
          <t>Poste</t>
        </is>
      </c>
      <c r="B4" s="17" t="inlineStr">
        <is>
          <t>Budget CHF</t>
        </is>
      </c>
      <c r="C4" s="17" t="inlineStr">
        <is>
          <t>Réalisé CHF</t>
        </is>
      </c>
      <c r="D4" s="17" t="inlineStr">
        <is>
          <t>Écart CHF</t>
        </is>
      </c>
      <c r="E4" s="17" t="inlineStr">
        <is>
          <t>Écart %</t>
        </is>
      </c>
    </row>
    <row r="5">
      <c r="A5" s="7" t="inlineStr">
        <is>
          <t>Chiffre d'affaires — honoraires</t>
        </is>
      </c>
      <c r="B5" s="8" t="n">
        <v>280000</v>
      </c>
      <c r="C5" s="8" t="n">
        <v>251000</v>
      </c>
      <c r="D5" s="8">
        <f>C5-B5</f>
        <v/>
      </c>
      <c r="E5" s="9">
        <f>IF(B5=0,0,D5/B5)</f>
        <v/>
      </c>
    </row>
    <row r="6">
      <c r="A6" s="10" t="inlineStr">
        <is>
          <t>Autres produits</t>
        </is>
      </c>
      <c r="B6" s="11" t="n">
        <v>6000</v>
      </c>
      <c r="C6" s="11" t="n">
        <v>5200</v>
      </c>
      <c r="D6" s="11">
        <f>C6-B6</f>
        <v/>
      </c>
      <c r="E6" s="12">
        <f>IF(B6=0,0,D6/B6)</f>
        <v/>
      </c>
    </row>
    <row r="7">
      <c r="A7" s="7" t="inlineStr">
        <is>
          <t>Charges de personnel</t>
        </is>
      </c>
      <c r="B7" s="8" t="n">
        <v>165000</v>
      </c>
      <c r="C7" s="8" t="n">
        <v>168000</v>
      </c>
      <c r="D7" s="8">
        <f>C7-B7</f>
        <v/>
      </c>
      <c r="E7" s="9">
        <f>IF(B7=0,0,D7/B7)</f>
        <v/>
      </c>
    </row>
    <row r="8">
      <c r="A8" s="10" t="inlineStr">
        <is>
          <t>Sous-traitance / freelances</t>
        </is>
      </c>
      <c r="B8" s="11" t="n">
        <v>24000</v>
      </c>
      <c r="C8" s="11" t="n">
        <v>31000</v>
      </c>
      <c r="D8" s="11">
        <f>C8-B8</f>
        <v/>
      </c>
      <c r="E8" s="12">
        <f>IF(B8=0,0,D8/B8)</f>
        <v/>
      </c>
    </row>
    <row r="9">
      <c r="A9" s="7" t="inlineStr">
        <is>
          <t>Loyer et charges locatives</t>
        </is>
      </c>
      <c r="B9" s="8" t="n">
        <v>13500</v>
      </c>
      <c r="C9" s="8" t="n">
        <v>13500</v>
      </c>
      <c r="D9" s="8">
        <f>C9-B9</f>
        <v/>
      </c>
      <c r="E9" s="9">
        <f>IF(B9=0,0,D9/B9)</f>
        <v/>
      </c>
    </row>
    <row r="10">
      <c r="A10" s="10" t="inlineStr">
        <is>
          <t>Marketing et acquisition</t>
        </is>
      </c>
      <c r="B10" s="11" t="n">
        <v>9000</v>
      </c>
      <c r="C10" s="11" t="n">
        <v>11500</v>
      </c>
      <c r="D10" s="11">
        <f>C10-B10</f>
        <v/>
      </c>
      <c r="E10" s="12">
        <f>IF(B10=0,0,D10/B10)</f>
        <v/>
      </c>
    </row>
    <row r="11">
      <c r="A11" s="7" t="inlineStr">
        <is>
          <t>Informatique / outils</t>
        </is>
      </c>
      <c r="B11" s="8" t="n">
        <v>5400</v>
      </c>
      <c r="C11" s="8" t="n">
        <v>5100</v>
      </c>
      <c r="D11" s="8">
        <f>C11-B11</f>
        <v/>
      </c>
      <c r="E11" s="9">
        <f>IF(B11=0,0,D11/B11)</f>
        <v/>
      </c>
    </row>
    <row r="12">
      <c r="A12" s="10" t="inlineStr">
        <is>
          <t>Autres frais généraux</t>
        </is>
      </c>
      <c r="B12" s="11" t="n">
        <v>8100</v>
      </c>
      <c r="C12" s="11" t="n">
        <v>7800</v>
      </c>
      <c r="D12" s="11">
        <f>C12-B12</f>
        <v/>
      </c>
      <c r="E12" s="12">
        <f>IF(B12=0,0,D12/B12)</f>
        <v/>
      </c>
    </row>
    <row r="14">
      <c r="A14" s="13" t="inlineStr">
        <is>
          <t>Total produits</t>
        </is>
      </c>
      <c r="B14" s="14">
        <f>B5+B6</f>
        <v/>
      </c>
      <c r="C14" s="14">
        <f>C5+C6</f>
        <v/>
      </c>
      <c r="D14" s="14">
        <f>C14-B14</f>
        <v/>
      </c>
      <c r="E14" s="15">
        <f>IF(B14=0,0,D14/B14)</f>
        <v/>
      </c>
    </row>
    <row r="15">
      <c r="A15" s="13" t="inlineStr">
        <is>
          <t>Total charges</t>
        </is>
      </c>
      <c r="B15" s="14">
        <f>SUM(B7:B12)</f>
        <v/>
      </c>
      <c r="C15" s="14">
        <f>SUM(C7:C12)</f>
        <v/>
      </c>
      <c r="D15" s="14">
        <f>C15-B15</f>
        <v/>
      </c>
      <c r="E15" s="15">
        <f>IF(B15=0,0,D15/B15)</f>
        <v/>
      </c>
    </row>
    <row r="16">
      <c r="A16" s="13" t="inlineStr">
        <is>
          <t>Résultat d'exploitation (approx.)</t>
        </is>
      </c>
      <c r="B16" s="14">
        <f>B14-B15</f>
        <v/>
      </c>
      <c r="C16" s="14">
        <f>C14-C15</f>
        <v/>
      </c>
      <c r="D16" s="14">
        <f>C16-B16</f>
        <v/>
      </c>
      <c r="E16" s="15">
        <f>IF(B16=0,0,D16/B16)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Corrigé indicatif — Mars (pour le formateur)</t>
        </is>
      </c>
    </row>
    <row r="3">
      <c r="A3" s="2" t="inlineStr">
        <is>
          <t>Synthèse attendue (idée, pas texte imposé)</t>
        </is>
      </c>
    </row>
    <row r="4">
      <c r="A4" s="3" t="inlineStr">
        <is>
          <t>Mars est nettement sous budget : le résultat souffre surtout d'un CA en retrait (−18'000 CHF), amplifié par plus de freelances (+4'000). Les autres écarts sont secondaires. À confirmer avec le métier : reports de missions et couverture freelances.</t>
        </is>
      </c>
    </row>
    <row r="5"/>
    <row r="6"/>
    <row r="8">
      <c r="A8" s="2" t="inlineStr">
        <is>
          <t>3 postes qui devraient ressortir</t>
        </is>
      </c>
    </row>
    <row r="9">
      <c r="A9" t="inlineStr">
        <is>
          <t>1. CA honoraires — défavorable −18'000 (−18,0 %)</t>
        </is>
      </c>
    </row>
    <row r="10">
      <c r="A10" t="inlineStr">
        <is>
          <t>2. Sous-traitance — défavorable +4'000 (+50 %)</t>
        </is>
      </c>
    </row>
    <row r="11">
      <c r="A11" t="inlineStr">
        <is>
          <t>3. Marketing — défavorable +1'200 (ou personnel +1'500 — les deux sont acceptables en 3e)</t>
        </is>
      </c>
    </row>
    <row r="13">
      <c r="A13" s="2" t="inlineStr">
        <is>
          <t>Questions métier possibles</t>
        </is>
      </c>
    </row>
    <row r="14">
      <c r="A14" t="inlineStr">
        <is>
          <t>• Les 2 missions reportées sont-elles rebookées en avril ?</t>
        </is>
      </c>
    </row>
    <row r="15">
      <c r="A15" t="inlineStr">
        <is>
          <t>• Le freelance remplace-t-il une absence ponctuelle ou un sous-effectif structurel ?</t>
        </is>
      </c>
    </row>
    <row r="16">
      <c r="A16" t="inlineStr">
        <is>
          <t>• La campagne LinkedIn a-t-elle un ROI mesurable ce trimestre ?</t>
        </is>
      </c>
    </row>
    <row r="18">
      <c r="A18" s="2" t="inlineStr">
        <is>
          <t>Prochaine action type</t>
        </is>
      </c>
    </row>
    <row r="19">
      <c r="A19" t="inlineStr">
        <is>
          <t>Mettre à jour le forecast avril avec les missions reportées + plafond freelance.</t>
        </is>
      </c>
    </row>
    <row r="21">
      <c r="A21" s="18" t="inlineStr">
        <is>
          <t>Ne montrez pas cette feuille aux participants avant la fin de l'exercice.</t>
        </is>
      </c>
    </row>
  </sheetData>
  <mergeCells count="1">
    <mergeCell ref="A4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2026-10-27T12:21:32Z</dcterms:created>
  <dcterms:modified xmlns:dcterms="http://purl.org/dc/terms/" xmlns:xsi="http://www.w3.org/2001/XMLSchema-instance" xsi:type="dcterms:W3CDTF">2026-10-27T12:21:32Z</dcterms:modified>
</cp:coreProperties>
</file>