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Courbes" sheetId="2" state="visible" r:id="rId2"/>
    <sheet xmlns:r="http://schemas.openxmlformats.org/officeDocument/2006/relationships" name="Recap" sheetId="3" state="visible" r:id="rId3"/>
    <sheet xmlns:r="http://schemas.openxmlformats.org/officeDocument/2006/relationships" name="Prompt_skill" sheetId="4" state="visible" r:id="rId4"/>
    <sheet xmlns:r="http://schemas.openxmlformats.org/officeDocument/2006/relationships" name="Corrige_formateur"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Calibri"/>
      <b val="1"/>
      <color rgb="001B3A4B"/>
      <sz val="16"/>
    </font>
    <font>
      <name val="Calibri"/>
      <b val="1"/>
      <color rgb="001B3A4B"/>
      <sz val="12"/>
    </font>
    <font>
      <name val="Calibri"/>
      <sz val="11"/>
    </font>
    <font>
      <name val="Calibri"/>
      <i val="1"/>
      <color rgb="002A6F7F"/>
      <sz val="11"/>
    </font>
    <font>
      <name val="Calibri"/>
      <b val="1"/>
      <color rgb="00FFFFFF"/>
      <sz val="11"/>
    </font>
    <font>
      <name val="Calibri"/>
      <color rgb="002A6F7F"/>
      <sz val="10"/>
    </font>
    <font>
      <name val="Calibri"/>
      <i val="1"/>
      <color rgb="00666666"/>
      <sz val="9"/>
    </font>
    <font>
      <name val="Calibri"/>
      <b val="1"/>
      <sz val="11"/>
    </font>
  </fonts>
  <fills count="7">
    <fill>
      <patternFill/>
    </fill>
    <fill>
      <patternFill patternType="gray125"/>
    </fill>
    <fill>
      <patternFill patternType="solid">
        <fgColor rgb="001B3A4B"/>
      </patternFill>
    </fill>
    <fill>
      <patternFill patternType="solid">
        <fgColor rgb="00FFFDE7"/>
      </patternFill>
    </fill>
    <fill>
      <patternFill patternType="solid">
        <fgColor rgb="00F4F7F8"/>
      </patternFill>
    </fill>
    <fill>
      <patternFill patternType="solid">
        <fgColor rgb="00FFF3E0"/>
      </patternFill>
    </fill>
    <fill>
      <patternFill patternType="solid">
        <fgColor rgb="00E3EEF1"/>
      </patternFill>
    </fill>
  </fills>
  <borders count="2">
    <border>
      <left/>
      <right/>
      <top/>
      <bottom/>
      <diagonal/>
    </border>
    <border>
      <left style="thin">
        <color rgb="00CFD8DC"/>
      </left>
      <right style="thin">
        <color rgb="00CFD8DC"/>
      </right>
      <top style="thin">
        <color rgb="00CFD8DC"/>
      </top>
      <bottom style="thin">
        <color rgb="00CFD8DC"/>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2" borderId="0" applyAlignment="1" pivotButton="0" quotePrefix="0" xfId="0">
      <alignment horizontal="center" wrapText="1"/>
    </xf>
    <xf numFmtId="0" fontId="6" fillId="0" borderId="1" pivotButton="0" quotePrefix="0" xfId="0"/>
    <xf numFmtId="0" fontId="3" fillId="0" borderId="1" pivotButton="0" quotePrefix="0" xfId="0"/>
    <xf numFmtId="3" fontId="0" fillId="0" borderId="1" pivotButton="0" quotePrefix="0" xfId="0"/>
    <xf numFmtId="0" fontId="0" fillId="3" borderId="1" pivotButton="0" quotePrefix="0" xfId="0"/>
    <xf numFmtId="0" fontId="6" fillId="4" borderId="1" pivotButton="0" quotePrefix="0" xfId="0"/>
    <xf numFmtId="0" fontId="3" fillId="4" borderId="1" pivotButton="0" quotePrefix="0" xfId="0"/>
    <xf numFmtId="3" fontId="0" fillId="4" borderId="1" pivotButton="0" quotePrefix="0" xfId="0"/>
    <xf numFmtId="0" fontId="0" fillId="0" borderId="1" applyAlignment="1" pivotButton="0" quotePrefix="0" xfId="0">
      <alignment horizontal="center"/>
    </xf>
    <xf numFmtId="164" fontId="0" fillId="0" borderId="1" pivotButton="0" quotePrefix="0" xfId="0"/>
    <xf numFmtId="1" fontId="0" fillId="4" borderId="1" pivotButton="0" quotePrefix="0" xfId="0"/>
    <xf numFmtId="165" fontId="0" fillId="0" borderId="1" pivotButton="0" quotePrefix="0" xfId="0"/>
    <xf numFmtId="164" fontId="0" fillId="4" borderId="1" pivotButton="0" quotePrefix="0" xfId="0"/>
    <xf numFmtId="1" fontId="0" fillId="0" borderId="1" pivotButton="0" quotePrefix="0" xfId="0"/>
    <xf numFmtId="0" fontId="0" fillId="5" borderId="0" applyAlignment="1" pivotButton="0" quotePrefix="0" xfId="0">
      <alignment wrapText="1"/>
    </xf>
    <xf numFmtId="2" fontId="0" fillId="0" borderId="1" pivotButton="0" quotePrefix="0" xfId="0"/>
    <xf numFmtId="0" fontId="3" fillId="6" borderId="1" pivotButton="0" quotePrefix="0" xfId="0"/>
    <xf numFmtId="3" fontId="0" fillId="6" borderId="1" pivotButton="0" quotePrefix="0" xfId="0"/>
    <xf numFmtId="0" fontId="7" fillId="0" borderId="0" pivotButton="0" quotePrefix="0" xfId="0"/>
    <xf numFmtId="0" fontId="8"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Demande projets vs capacité (après remplissage)</a:t>
            </a:r>
          </a:p>
        </rich>
      </tx>
    </title>
    <plotArea>
      <lineChart>
        <grouping val="standard"/>
        <ser>
          <idx val="0"/>
          <order val="0"/>
          <tx>
            <strRef>
              <f>'Recap'!A6</f>
            </strRef>
          </tx>
          <spPr>
            <a:ln xmlns:a="http://schemas.openxmlformats.org/drawingml/2006/main">
              <a:prstDash val="solid"/>
            </a:ln>
          </spPr>
          <marker>
            <symbol val="none"/>
            <spPr>
              <a:ln xmlns:a="http://schemas.openxmlformats.org/drawingml/2006/main">
                <a:prstDash val="solid"/>
              </a:ln>
            </spPr>
          </marker>
          <cat>
            <numRef>
              <f>'Recap'!$B$3:$F$3</f>
            </numRef>
          </cat>
          <val>
            <numRef>
              <f>'Recap'!$B$6:$F$6</f>
            </numRef>
          </val>
        </ser>
        <ser>
          <idx val="1"/>
          <order val="1"/>
          <tx>
            <strRef>
              <f>'Recap'!A7</f>
            </strRef>
          </tx>
          <spPr>
            <a:ln xmlns:a="http://schemas.openxmlformats.org/drawingml/2006/main">
              <a:prstDash val="solid"/>
            </a:ln>
          </spPr>
          <marker>
            <symbol val="none"/>
            <spPr>
              <a:ln xmlns:a="http://schemas.openxmlformats.org/drawingml/2006/main">
                <a:prstDash val="solid"/>
              </a:ln>
            </spPr>
          </marker>
          <cat>
            <numRef>
              <f>'Recap'!$B$3:$F$3</f>
            </numRef>
          </cat>
          <val>
            <numRef>
              <f>'Recap'!$B$7:$F$7</f>
            </numRef>
          </val>
        </ser>
        <ser>
          <idx val="2"/>
          <order val="2"/>
          <tx>
            <strRef>
              <f>'Recap'!A8</f>
            </strRef>
          </tx>
          <spPr>
            <a:ln xmlns:a="http://schemas.openxmlformats.org/drawingml/2006/main">
              <a:prstDash val="solid"/>
            </a:ln>
          </spPr>
          <marker>
            <symbol val="none"/>
            <spPr>
              <a:ln xmlns:a="http://schemas.openxmlformats.org/drawingml/2006/main">
                <a:prstDash val="solid"/>
              </a:ln>
            </spPr>
          </marker>
          <cat>
            <numRef>
              <f>'Recap'!$B$3:$F$3</f>
            </numRef>
          </cat>
          <val>
            <numRef>
              <f>'Recap'!$B$8:$F$8</f>
            </numRef>
          </val>
        </ser>
        <ser>
          <idx val="3"/>
          <order val="3"/>
          <tx>
            <strRef>
              <f>'Recap'!A9</f>
            </strRef>
          </tx>
          <spPr>
            <a:ln xmlns:a="http://schemas.openxmlformats.org/drawingml/2006/main">
              <a:prstDash val="solid"/>
            </a:ln>
          </spPr>
          <marker>
            <symbol val="none"/>
            <spPr>
              <a:ln xmlns:a="http://schemas.openxmlformats.org/drawingml/2006/main">
                <a:prstDash val="solid"/>
              </a:ln>
            </spPr>
          </marker>
          <cat>
            <numRef>
              <f>'Recap'!$B$3:$F$3</f>
            </numRef>
          </cat>
          <val>
            <numRef>
              <f>'Recap'!$B$9:$F$9</f>
            </numRef>
          </val>
        </ser>
        <axId val="10"/>
        <axId val="100"/>
      </lineChart>
      <catAx>
        <axId val="10"/>
        <scaling>
          <orientation val="minMax"/>
        </scaling>
        <axPos val="l"/>
        <title>
          <tx>
            <rich>
              <a:bodyPr xmlns:a="http://schemas.openxmlformats.org/drawingml/2006/main"/>
              <a:p xmlns:a="http://schemas.openxmlformats.org/drawingml/2006/main">
                <a:pPr>
                  <a:defRPr/>
                </a:pPr>
                <a:r>
                  <a:t>Année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 mois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17</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00" customWidth="1" min="1" max="1"/>
  </cols>
  <sheetData>
    <row r="1">
      <c r="A1" s="1" t="inlineStr">
        <is>
          <t>Atelier — Courbes de croissance (skill financial-model-platinn-romandee)</t>
        </is>
      </c>
    </row>
    <row r="3">
      <c r="A3" s="2" t="inlineStr">
        <is>
          <t>Objectif</t>
        </is>
      </c>
    </row>
    <row r="4">
      <c r="A4" s="3" t="inlineStr">
        <is>
          <t>Préparer les hypothèses année 1 → année 5 d’une société de services suisse, au même format de drivers que la skill financial-model-platinn-romandee (prix, volume, capacité, marge &amp; cash). Y1 et Y5 sont donnés ; vous (ou Claude) remplissez Y2–Y4.</t>
        </is>
      </c>
    </row>
    <row r="5"/>
    <row r="6"/>
    <row r="8">
      <c r="A8" s="2" t="inlineStr">
        <is>
          <t>Déroulement</t>
        </is>
      </c>
    </row>
    <row r="9">
      <c r="A9" s="4" t="inlineStr">
        <is>
          <t>1. Feuille Courbes — compléter les cellules jaunes (Y2, Y3, Y4).</t>
        </is>
      </c>
    </row>
    <row r="10">
      <c r="A10" s="4" t="inlineStr">
        <is>
          <t>2. Interpolation linéaire par défaut ; une rupture est OK si vous la justifiez en commentaire.</t>
        </is>
      </c>
    </row>
    <row r="11">
      <c r="A11" s="4" t="inlineStr">
        <is>
          <t>3. Feuille Recap — vérifier que la capacité (FTE × heures × util.) suit la demande.</t>
        </is>
      </c>
    </row>
    <row r="12">
      <c r="A12" s="4" t="inlineStr">
        <is>
          <t>4. Envoyer le tableau à la skill platinn-romandee pour générer le plan Excel complet.</t>
        </is>
      </c>
    </row>
    <row r="13">
      <c r="A13" s="4" t="inlineStr">
        <is>
          <t>5. Ne pas ouvrir Corrige_formateur avant d’avoir tenté l’exercice.</t>
        </is>
      </c>
    </row>
    <row r="15">
      <c r="A15" s="2" t="inlineStr">
        <is>
          <t>Cas</t>
        </is>
      </c>
    </row>
    <row r="16">
      <c r="A16" s="5" t="inlineStr">
        <is>
          <t>Alpes Conseil Sàrl — conseil en organisation, Vaud, mode services (pas de SaaS, pas de VC). Devise CHF. Démarrage plan : janv. 2027. Fichier pédagogique — pas de conseil fiscal.</t>
        </is>
      </c>
    </row>
    <row r="17"/>
    <row r="19">
      <c r="A19" s="2" t="inlineStr">
        <is>
          <t>Mapping skill (rappel)</t>
        </is>
      </c>
    </row>
    <row r="20">
      <c r="A20" s="5" t="inlineStr">
        <is>
          <t>NewClients, ClientChurn, ProjectDemand, TargetUtil, RetainerFee/BillRate (via PriceIncrease), roles / FTE delivery → inputs JSON de financial-model-platinn-romandee (voir sample lemanconseil).</t>
        </is>
      </c>
    </row>
    <row r="21"/>
  </sheetData>
  <mergeCells count="4">
    <mergeCell ref="A20:D21"/>
    <mergeCell ref="A1:D1"/>
    <mergeCell ref="A4:D6"/>
    <mergeCell ref="A16:D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48" customWidth="1" min="2" max="2"/>
    <col width="12" customWidth="1" min="3" max="3"/>
    <col width="10" customWidth="1" min="4" max="4"/>
    <col width="10" customWidth="1" min="5" max="5"/>
    <col width="10" customWidth="1" min="6" max="6"/>
    <col width="10" customWidth="1" min="7" max="7"/>
    <col width="10" customWidth="1" min="8" max="8"/>
  </cols>
  <sheetData>
    <row r="1">
      <c r="A1" s="1" t="inlineStr">
        <is>
          <t>Alpes Conseil Sàrl — Courbes d’hypothèses (5 ans)</t>
        </is>
      </c>
    </row>
    <row r="2">
      <c r="A2" s="6" t="inlineStr">
        <is>
          <t>Jaune = à compléter (Y2–Y4). Y1 et Y5 fournis. Aligné drivers skill financial-model-platinn-romandee (mode services).</t>
        </is>
      </c>
    </row>
    <row r="4">
      <c r="A4" s="7" t="inlineStr">
        <is>
          <t>Clé skill</t>
        </is>
      </c>
      <c r="B4" s="7" t="inlineStr">
        <is>
          <t>Hypothèse</t>
        </is>
      </c>
      <c r="C4" s="7" t="inlineStr">
        <is>
          <t>Unité</t>
        </is>
      </c>
      <c r="D4" s="7" t="inlineStr">
        <is>
          <t>Y1</t>
        </is>
      </c>
      <c r="E4" s="7" t="inlineStr">
        <is>
          <t>Y2</t>
        </is>
      </c>
      <c r="F4" s="7" t="inlineStr">
        <is>
          <t>Y3</t>
        </is>
      </c>
      <c r="G4" s="7" t="inlineStr">
        <is>
          <t>Y4</t>
        </is>
      </c>
      <c r="H4" s="7" t="inlineStr">
        <is>
          <t>Y5</t>
        </is>
      </c>
    </row>
    <row r="5">
      <c r="A5" s="8" t="inlineStr">
        <is>
          <t>RetainerFee</t>
        </is>
      </c>
      <c r="B5" s="9" t="inlineStr">
        <is>
          <t>1. Prix — Honoraire retainer mensuel type</t>
        </is>
      </c>
      <c r="C5" s="9" t="inlineStr">
        <is>
          <t>CHF/mois</t>
        </is>
      </c>
      <c r="D5" s="10" t="n">
        <v>3800</v>
      </c>
      <c r="E5" s="11" t="n"/>
      <c r="F5" s="11" t="n"/>
      <c r="G5" s="11" t="n"/>
      <c r="H5" s="10" t="n">
        <v>4500</v>
      </c>
    </row>
    <row r="6">
      <c r="A6" s="12" t="inlineStr">
        <is>
          <t>BillRate</t>
        </is>
      </c>
      <c r="B6" s="13" t="inlineStr">
        <is>
          <t>1. Prix — Taux horaire projet</t>
        </is>
      </c>
      <c r="C6" s="13" t="inlineStr">
        <is>
          <t>CHF/h</t>
        </is>
      </c>
      <c r="D6" s="14" t="n">
        <v>175</v>
      </c>
      <c r="E6" s="11" t="n"/>
      <c r="F6" s="11" t="n"/>
      <c r="G6" s="11" t="n"/>
      <c r="H6" s="14" t="n">
        <v>195</v>
      </c>
    </row>
    <row r="7">
      <c r="A7" s="8" t="inlineStr">
        <is>
          <t>PriceIncrease</t>
        </is>
      </c>
      <c r="B7" s="9" t="inlineStr">
        <is>
          <t>1. Prix — Hausse prix annuelle (à partir de Y2)</t>
        </is>
      </c>
      <c r="C7" s="9" t="inlineStr">
        <is>
          <t>%</t>
        </is>
      </c>
      <c r="D7" s="15" t="inlineStr">
        <is>
          <t>—</t>
        </is>
      </c>
      <c r="E7" s="11" t="n"/>
      <c r="F7" s="11" t="n"/>
      <c r="G7" s="11" t="n"/>
      <c r="H7" s="16" t="n">
        <v>0.03</v>
      </c>
    </row>
    <row r="8">
      <c r="A8" s="12" t="inlineStr">
        <is>
          <t>StartClients</t>
        </is>
      </c>
      <c r="B8" s="13" t="inlineStr">
        <is>
          <t>2. Volume — Clients retainer en début de plan (fixe)</t>
        </is>
      </c>
      <c r="C8" s="13" t="inlineStr">
        <is>
          <t>nb</t>
        </is>
      </c>
      <c r="D8" s="17" t="n">
        <v>5</v>
      </c>
      <c r="E8" s="11" t="n"/>
      <c r="F8" s="11" t="n"/>
      <c r="G8" s="11" t="n"/>
      <c r="H8" s="17" t="n">
        <v>5</v>
      </c>
    </row>
    <row r="9">
      <c r="A9" s="8" t="inlineStr">
        <is>
          <t>NewClients</t>
        </is>
      </c>
      <c r="B9" s="9" t="inlineStr">
        <is>
          <t>2. Volume — Nouveaux clients retainer / mois</t>
        </is>
      </c>
      <c r="C9" s="9" t="inlineStr">
        <is>
          <t>nb/mois</t>
        </is>
      </c>
      <c r="D9" s="18" t="n">
        <v>0.5</v>
      </c>
      <c r="E9" s="11" t="n"/>
      <c r="F9" s="11" t="n"/>
      <c r="G9" s="11" t="n"/>
      <c r="H9" s="18" t="n">
        <v>1.2</v>
      </c>
    </row>
    <row r="10">
      <c r="A10" s="12" t="inlineStr">
        <is>
          <t>ClientChurn</t>
        </is>
      </c>
      <c r="B10" s="13" t="inlineStr">
        <is>
          <t>2. Volume — Churn clients / mois</t>
        </is>
      </c>
      <c r="C10" s="13" t="inlineStr">
        <is>
          <t>%</t>
        </is>
      </c>
      <c r="D10" s="19" t="n">
        <v>0.025</v>
      </c>
      <c r="E10" s="11" t="n"/>
      <c r="F10" s="11" t="n"/>
      <c r="G10" s="11" t="n"/>
      <c r="H10" s="19" t="n">
        <v>0.018</v>
      </c>
    </row>
    <row r="11">
      <c r="A11" s="8" t="inlineStr">
        <is>
          <t>RetainerHours</t>
        </is>
      </c>
      <c r="B11" s="9" t="inlineStr">
        <is>
          <t>2. Volume — Heures / client retainer / mois</t>
        </is>
      </c>
      <c r="C11" s="9" t="inlineStr">
        <is>
          <t>h</t>
        </is>
      </c>
      <c r="D11" s="20" t="n">
        <v>20</v>
      </c>
      <c r="E11" s="11" t="n"/>
      <c r="F11" s="11" t="n"/>
      <c r="G11" s="11" t="n"/>
      <c r="H11" s="20" t="n">
        <v>22</v>
      </c>
    </row>
    <row r="12">
      <c r="A12" s="12" t="inlineStr">
        <is>
          <t>ProjectDemand</t>
        </is>
      </c>
      <c r="B12" s="13" t="inlineStr">
        <is>
          <t>2. Volume — Demande projets (heures/mois)</t>
        </is>
      </c>
      <c r="C12" s="13" t="inlineStr">
        <is>
          <t>h/mois</t>
        </is>
      </c>
      <c r="D12" s="17" t="n">
        <v>120</v>
      </c>
      <c r="E12" s="11" t="n"/>
      <c r="F12" s="11" t="n"/>
      <c r="G12" s="11" t="n"/>
      <c r="H12" s="17" t="n">
        <v>400</v>
      </c>
    </row>
    <row r="13">
      <c r="A13" s="8" t="inlineStr">
        <is>
          <t>DeliveryFTE</t>
        </is>
      </c>
      <c r="B13" s="9" t="inlineStr">
        <is>
          <t>3. Capacité — FTE Delivery (moyenne année)</t>
        </is>
      </c>
      <c r="C13" s="9" t="inlineStr">
        <is>
          <t>FTE</t>
        </is>
      </c>
      <c r="D13" s="18" t="n">
        <v>3</v>
      </c>
      <c r="E13" s="11" t="n"/>
      <c r="F13" s="11" t="n"/>
      <c r="G13" s="11" t="n"/>
      <c r="H13" s="18" t="n">
        <v>7</v>
      </c>
    </row>
    <row r="14">
      <c r="A14" s="12" t="inlineStr">
        <is>
          <t>HoursPerFTE</t>
        </is>
      </c>
      <c r="B14" s="13" t="inlineStr">
        <is>
          <t>3. Capacité — Heures travaillées / FTE / mois</t>
        </is>
      </c>
      <c r="C14" s="13" t="inlineStr">
        <is>
          <t>h</t>
        </is>
      </c>
      <c r="D14" s="17" t="n">
        <v>150</v>
      </c>
      <c r="E14" s="11" t="n"/>
      <c r="F14" s="11" t="n"/>
      <c r="G14" s="11" t="n"/>
      <c r="H14" s="17" t="n">
        <v>150</v>
      </c>
    </row>
    <row r="15">
      <c r="A15" s="8" t="inlineStr">
        <is>
          <t>TargetUtil</t>
        </is>
      </c>
      <c r="B15" s="9" t="inlineStr">
        <is>
          <t>3. Capacité — Utilisation cible</t>
        </is>
      </c>
      <c r="C15" s="9" t="inlineStr">
        <is>
          <t>%</t>
        </is>
      </c>
      <c r="D15" s="16" t="n">
        <v>0.7</v>
      </c>
      <c r="E15" s="11" t="n"/>
      <c r="F15" s="11" t="n"/>
      <c r="G15" s="11" t="n"/>
      <c r="H15" s="16" t="n">
        <v>0.76</v>
      </c>
    </row>
    <row r="16">
      <c r="A16" s="12" t="inlineStr">
        <is>
          <t>SubShare</t>
        </is>
      </c>
      <c r="B16" s="13" t="inlineStr">
        <is>
          <t>3. Capacité — Part overflow en freelance</t>
        </is>
      </c>
      <c r="C16" s="13" t="inlineStr">
        <is>
          <t>%</t>
        </is>
      </c>
      <c r="D16" s="19" t="n">
        <v>0.4</v>
      </c>
      <c r="E16" s="11" t="n"/>
      <c r="F16" s="11" t="n"/>
      <c r="G16" s="11" t="n"/>
      <c r="H16" s="19" t="n">
        <v>0.5</v>
      </c>
    </row>
    <row r="17">
      <c r="A17" s="8" t="inlineStr">
        <is>
          <t>SubCost</t>
        </is>
      </c>
      <c r="B17" s="9" t="inlineStr">
        <is>
          <t>3. Capacité — Coût horaire freelance</t>
        </is>
      </c>
      <c r="C17" s="9" t="inlineStr">
        <is>
          <t>CHF/h</t>
        </is>
      </c>
      <c r="D17" s="10" t="n">
        <v>115</v>
      </c>
      <c r="E17" s="11" t="n"/>
      <c r="F17" s="11" t="n"/>
      <c r="G17" s="11" t="n"/>
      <c r="H17" s="10" t="n">
        <v>130</v>
      </c>
    </row>
    <row r="18">
      <c r="A18" s="12" t="inlineStr">
        <is>
          <t>Rent</t>
        </is>
      </c>
      <c r="B18" s="13" t="inlineStr">
        <is>
          <t>4. Cash — Loyer mensuel</t>
        </is>
      </c>
      <c r="C18" s="13" t="inlineStr">
        <is>
          <t>CHF/mois</t>
        </is>
      </c>
      <c r="D18" s="14" t="n">
        <v>3200</v>
      </c>
      <c r="E18" s="11" t="n"/>
      <c r="F18" s="11" t="n"/>
      <c r="G18" s="11" t="n"/>
      <c r="H18" s="14" t="n">
        <v>5200</v>
      </c>
    </row>
    <row r="19">
      <c r="A19" s="8" t="inlineStr">
        <is>
          <t>DSO</t>
        </is>
      </c>
      <c r="B19" s="9" t="inlineStr">
        <is>
          <t>4. Cash — Délai encaissement clients</t>
        </is>
      </c>
      <c r="C19" s="9" t="inlineStr">
        <is>
          <t>jours</t>
        </is>
      </c>
      <c r="D19" s="20" t="n">
        <v>45</v>
      </c>
      <c r="E19" s="11" t="n"/>
      <c r="F19" s="11" t="n"/>
      <c r="G19" s="11" t="n"/>
      <c r="H19" s="20" t="n">
        <v>40</v>
      </c>
    </row>
    <row r="20">
      <c r="A20" s="12" t="inlineStr">
        <is>
          <t>MinCash</t>
        </is>
      </c>
      <c r="B20" s="13" t="inlineStr">
        <is>
          <t>4. Cash — Plancher de trésorerie</t>
        </is>
      </c>
      <c r="C20" s="13" t="inlineStr">
        <is>
          <t>CHF</t>
        </is>
      </c>
      <c r="D20" s="14" t="n">
        <v>40000</v>
      </c>
      <c r="E20" s="11" t="n"/>
      <c r="F20" s="11" t="n"/>
      <c r="G20" s="11" t="n"/>
      <c r="H20" s="14" t="n">
        <v>80000</v>
      </c>
    </row>
    <row r="22">
      <c r="A22" s="2" t="inlineStr">
        <is>
          <t>Indices</t>
        </is>
      </c>
    </row>
    <row r="23">
      <c r="A23" s="21" t="inlineStr">
        <is>
          <t>Interpolation linéaire : valeur_Yn = Y1 + (Y5−Y1)×(n−1)/4. Pour PriceIncrease, Y1 n’existe pas (hausse dès Y2) : proposez une montée vers 3 %. StartClients reste constant (stock initial, pas une courbe).</t>
        </is>
      </c>
    </row>
    <row r="24"/>
  </sheetData>
  <mergeCells count="3">
    <mergeCell ref="A23:H24"/>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8" customWidth="1" min="1" max="1"/>
    <col width="12" customWidth="1" min="2" max="2"/>
    <col width="12" customWidth="1" min="3" max="3"/>
    <col width="12" customWidth="1" min="4" max="4"/>
    <col width="12" customWidth="1" min="5" max="5"/>
    <col width="12" customWidth="1" min="6" max="6"/>
  </cols>
  <sheetData>
    <row r="1">
      <c r="A1" s="1" t="inlineStr">
        <is>
          <t>Recap capacité vs demande (après remplissage des Courbes)</t>
        </is>
      </c>
    </row>
    <row r="2">
      <c r="A2" s="6" t="inlineStr">
        <is>
          <t>Quand Y2–Y4 sont remplis, ces indicateurs se calculent depuis Courbes. Capacité billable ≈ DeliveryFTE × HoursPerFTE × TargetUtil.</t>
        </is>
      </c>
    </row>
    <row r="3">
      <c r="B3" t="inlineStr">
        <is>
          <t>Y1</t>
        </is>
      </c>
      <c r="C3" t="inlineStr">
        <is>
          <t>Y2</t>
        </is>
      </c>
      <c r="D3" t="inlineStr">
        <is>
          <t>Y3</t>
        </is>
      </c>
      <c r="E3" t="inlineStr">
        <is>
          <t>Y4</t>
        </is>
      </c>
      <c r="F3" t="inlineStr">
        <is>
          <t>Y5</t>
        </is>
      </c>
    </row>
    <row r="4">
      <c r="A4" s="7" t="inlineStr">
        <is>
          <t>Indicateur</t>
        </is>
      </c>
      <c r="B4" s="7" t="inlineStr">
        <is>
          <t>Y1</t>
        </is>
      </c>
      <c r="C4" s="7" t="inlineStr">
        <is>
          <t>Y2</t>
        </is>
      </c>
      <c r="D4" s="7" t="inlineStr">
        <is>
          <t>Y3</t>
        </is>
      </c>
      <c r="E4" s="7" t="inlineStr">
        <is>
          <t>Y4</t>
        </is>
      </c>
      <c r="F4" s="7" t="inlineStr">
        <is>
          <t>Y5</t>
        </is>
      </c>
    </row>
    <row r="5">
      <c r="A5" s="9" t="inlineStr">
        <is>
          <t>Nouveaux clients / mois</t>
        </is>
      </c>
      <c r="B5" s="22">
        <f>Courbes!D9</f>
        <v/>
      </c>
      <c r="C5" s="22">
        <f>Courbes!E9</f>
        <v/>
      </c>
      <c r="D5" s="22">
        <f>Courbes!F9</f>
        <v/>
      </c>
      <c r="E5" s="22">
        <f>Courbes!G9</f>
        <v/>
      </c>
      <c r="F5" s="22">
        <f>Courbes!H9</f>
        <v/>
      </c>
    </row>
    <row r="6">
      <c r="A6" s="9" t="inlineStr">
        <is>
          <t>Demande projets (h/mois)</t>
        </is>
      </c>
      <c r="B6" s="10">
        <f>Courbes!D12</f>
        <v/>
      </c>
      <c r="C6" s="10">
        <f>Courbes!E12</f>
        <v/>
      </c>
      <c r="D6" s="10">
        <f>Courbes!F12</f>
        <v/>
      </c>
      <c r="E6" s="10">
        <f>Courbes!G12</f>
        <v/>
      </c>
      <c r="F6" s="10">
        <f>Courbes!H12</f>
        <v/>
      </c>
    </row>
    <row r="7">
      <c r="A7" s="9" t="inlineStr">
        <is>
          <t>FTE Delivery</t>
        </is>
      </c>
      <c r="B7" s="18">
        <f>Courbes!D13</f>
        <v/>
      </c>
      <c r="C7" s="18">
        <f>Courbes!E13</f>
        <v/>
      </c>
      <c r="D7" s="18">
        <f>Courbes!F13</f>
        <v/>
      </c>
      <c r="E7" s="18">
        <f>Courbes!G13</f>
        <v/>
      </c>
      <c r="F7" s="18">
        <f>Courbes!H13</f>
        <v/>
      </c>
    </row>
    <row r="8">
      <c r="A8" s="9" t="inlineStr">
        <is>
          <t>Utilisation cible</t>
        </is>
      </c>
      <c r="B8" s="16">
        <f>Courbes!D15</f>
        <v/>
      </c>
      <c r="C8" s="16">
        <f>Courbes!E15</f>
        <v/>
      </c>
      <c r="D8" s="16">
        <f>Courbes!F15</f>
        <v/>
      </c>
      <c r="E8" s="16">
        <f>Courbes!G15</f>
        <v/>
      </c>
      <c r="F8" s="16">
        <f>Courbes!H15</f>
        <v/>
      </c>
    </row>
    <row r="9">
      <c r="A9" s="23" t="inlineStr">
        <is>
          <t>Capacité billable (h/mois)</t>
        </is>
      </c>
      <c r="B9" s="24">
        <f>Courbes!D13*Courbes!D14*Courbes!D15</f>
        <v/>
      </c>
      <c r="C9" s="24">
        <f>Courbes!E13*Courbes!E14*Courbes!E15</f>
        <v/>
      </c>
      <c r="D9" s="24">
        <f>Courbes!F13*Courbes!F14*Courbes!F15</f>
        <v/>
      </c>
      <c r="E9" s="24">
        <f>Courbes!G13*Courbes!G14*Courbes!G15</f>
        <v/>
      </c>
      <c r="F9" s="24">
        <f>Courbes!H13*Courbes!H14*Courbes!H15</f>
        <v/>
      </c>
    </row>
    <row r="10">
      <c r="A10" s="23" t="inlineStr">
        <is>
          <t>Demande totale approx. (projets + retainer start×h)</t>
        </is>
      </c>
      <c r="B10" s="24">
        <f>Courbes!D12+Courbes!D8*Courbes!D11</f>
        <v/>
      </c>
      <c r="C10" s="24">
        <f>Courbes!E12+Courbes!E8*Courbes!E11</f>
        <v/>
      </c>
      <c r="D10" s="24">
        <f>Courbes!F12+Courbes!F8*Courbes!F11</f>
        <v/>
      </c>
      <c r="E10" s="24">
        <f>Courbes!G12+Courbes!G8*Courbes!G11</f>
        <v/>
      </c>
      <c r="F10" s="24">
        <f>Courbes!H12+Courbes!H8*Courbes!H11</f>
        <v/>
      </c>
    </row>
    <row r="12">
      <c r="A12" s="2" t="inlineStr">
        <is>
          <t>Lecture</t>
        </is>
      </c>
    </row>
    <row r="13">
      <c r="A13" s="21" t="inlineStr">
        <is>
          <t>Si Demande totale ≫ Capacité billable sur une année, il faut plus de FTE Delivery (ou moins de ProjectDemand / plus de freelances). C’est le cœur du driver 3 de la skill.</t>
        </is>
      </c>
    </row>
    <row r="14"/>
    <row r="16">
      <c r="A16" s="25" t="inlineStr">
        <is>
          <t>* Approx. pédagogique : stock initial × heures ; la skill gère le stock de clients dynamiquement.</t>
        </is>
      </c>
    </row>
  </sheetData>
  <mergeCells count="3">
    <mergeCell ref="A2:F2"/>
    <mergeCell ref="A1:F1"/>
    <mergeCell ref="A13:F1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00" customWidth="1" min="1" max="1"/>
  </cols>
  <sheetData>
    <row r="1">
      <c r="A1" s="1" t="inlineStr">
        <is>
          <t>Prompt type — enchaîner avec financial-model-platinn-romandee</t>
        </is>
      </c>
    </row>
    <row r="3">
      <c r="A3" s="3" t="inlineStr">
        <is>
          <t>J’ai préparé les courbes 5 ans d’Alpes Conseil Sàrl (mode services, pas de subscriptions, pas de VC) dans growth-curve.xlsx, feuille Courbes. Utilise la skill financial-model-platinn-romandee : parte de ces hypothèses, pose-moi seulement les questions manquantes (équipe détaillée, canton, BFR, etc.), puis génère le JSON et le plan Excel.</t>
        </is>
      </c>
    </row>
    <row r="4"/>
    <row r="5"/>
    <row r="6"/>
    <row r="8">
      <c r="A8" s="2" t="inlineStr">
        <is>
          <t>Variante sans la skill (Claude in Excel / Cursor)</t>
        </is>
      </c>
    </row>
    <row r="9">
      <c r="A9" s="3" t="inlineStr">
        <is>
          <t>Sur la feuille Courbes, remplis Y2 Y3 Y4 par interpolation linéaire entre Y1 et Y5 (sauf StartClients constant et PriceIncrease dès Y2). Écris les formules Excel, pas des valeurs en dur si possible.</t>
        </is>
      </c>
    </row>
    <row r="10"/>
    <row r="11"/>
  </sheetData>
  <mergeCells count="3">
    <mergeCell ref="A3:B6"/>
    <mergeCell ref="A1:B1"/>
    <mergeCell ref="A9:B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95" customWidth="1" min="1" max="1"/>
  </cols>
  <sheetData>
    <row r="1">
      <c r="A1" s="1" t="inlineStr">
        <is>
          <t>Corrigé indicatif — interpolation linéaire</t>
        </is>
      </c>
    </row>
    <row r="3">
      <c r="A3" s="2" t="inlineStr">
        <is>
          <t>Formule</t>
        </is>
      </c>
    </row>
    <row r="4">
      <c r="A4" t="inlineStr">
        <is>
          <t>Yn = Y1 + (Y5 − Y1) × (n − 1) / 4    pour n = 2,3,4</t>
        </is>
      </c>
    </row>
    <row r="6">
      <c r="A6" s="2" t="inlineStr">
        <is>
          <t>Exemples</t>
        </is>
      </c>
    </row>
    <row r="7">
      <c r="A7" s="4" t="inlineStr">
        <is>
          <t>NewClients : 0.5 → 0.675 → 0.85 → 1.025 → 1.2</t>
        </is>
      </c>
    </row>
    <row r="8">
      <c r="A8" s="4" t="inlineStr">
        <is>
          <t>ProjectDemand : 120 → 190 → 260 → 330 → 400</t>
        </is>
      </c>
    </row>
    <row r="9">
      <c r="A9" s="4" t="inlineStr">
        <is>
          <t>DeliveryFTE : 3.0 → 4.0 → 5.0 → 6.0 → 7.0</t>
        </is>
      </c>
    </row>
    <row r="10">
      <c r="A10" s="4" t="inlineStr">
        <is>
          <t>TargetUtil : 70 % → 71.5 % → 73 % → 74.5 % → 76 %</t>
        </is>
      </c>
    </row>
    <row r="11">
      <c r="A11" s="4" t="inlineStr">
        <is>
          <t>BillRate : 175 → 180 → 185 → 190 → 195</t>
        </is>
      </c>
    </row>
    <row r="12">
      <c r="A12" s="4" t="inlineStr">
        <is>
          <t>PriceIncrease : — → 2.0 % → 2.5 % → 2.75 % → 3.0 % (exemple de montée)</t>
        </is>
      </c>
    </row>
    <row r="13">
      <c r="A13" s="4" t="inlineStr">
        <is>
          <t>StartClients : 5 · 5 · 5 · 5 · 5</t>
        </is>
      </c>
    </row>
    <row r="14">
      <c r="A14" s="4" t="inlineStr">
        <is>
          <t>HoursPerFTE : 150 constant</t>
        </is>
      </c>
    </row>
    <row r="16">
      <c r="A16" s="2" t="inlineStr">
        <is>
          <t>Point pédagogique capacité</t>
        </is>
      </c>
    </row>
    <row r="17">
      <c r="A17" s="3" t="inlineStr">
        <is>
          <t>Avec interpolation linéaire FTE et demande, Y5 : capacité ≈ 7×150×0.76 = 798 h ; demande approx. 400 + 5×22 = 510 h → marge de capacité OK. Si les participants mettent la demande trop haut sans monter les FTE, le Recap le montre.</t>
        </is>
      </c>
    </row>
    <row r="18"/>
    <row r="19"/>
    <row r="21">
      <c r="A21" s="26" t="inlineStr">
        <is>
          <t>Ne montrez pas cette feuille avant la fin de l’exercice.</t>
        </is>
      </c>
    </row>
  </sheetData>
  <mergeCells count="1">
    <mergeCell ref="A17:B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2026-10-27T15:47:08Z</dcterms:created>
  <dcterms:modified xmlns:dcterms="http://purl.org/dc/terms/" xmlns:xsi="http://www.w3.org/2001/XMLSchema-instance" xsi:type="dcterms:W3CDTF">2026-10-27T15:47:08Z</dcterms:modified>
</cp:coreProperties>
</file>